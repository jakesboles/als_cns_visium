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Neurology\Gate_Lab\Boles\als_motor_circuit_visium\"/>
    </mc:Choice>
  </mc:AlternateContent>
  <xr:revisionPtr revIDLastSave="0" documentId="13_ncr:1_{0B158C1F-A498-404D-B004-EF04C85A75CC}" xr6:coauthVersionLast="47" xr6:coauthVersionMax="47" xr10:uidLastSave="{00000000-0000-0000-0000-000000000000}"/>
  <bookViews>
    <workbookView xWindow="14295" yWindow="0" windowWidth="14610" windowHeight="15585" xr2:uid="{A0B421F2-6A50-41F1-B76E-1758D3072867}"/>
  </bookViews>
  <sheets>
    <sheet name="sample_prep" sheetId="1" r:id="rId1"/>
    <sheet name="reag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1" l="1"/>
  <c r="J65" i="1"/>
  <c r="J64" i="1"/>
  <c r="J63" i="1"/>
  <c r="J62" i="1"/>
  <c r="J61" i="1"/>
  <c r="J60" i="1"/>
  <c r="J59" i="1"/>
  <c r="J58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34" i="1"/>
  <c r="I23" i="1"/>
  <c r="I24" i="1"/>
  <c r="I25" i="1"/>
  <c r="I26" i="1"/>
  <c r="I27" i="1"/>
  <c r="I28" i="1"/>
  <c r="I29" i="1"/>
  <c r="I22" i="1"/>
  <c r="K11" i="2"/>
  <c r="E13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4" i="1"/>
  <c r="H14" i="2" l="1"/>
  <c r="E10" i="2"/>
  <c r="H8" i="2"/>
  <c r="B11" i="2"/>
  <c r="N12" i="2"/>
  <c r="N8" i="2" s="1"/>
  <c r="N7" i="2"/>
  <c r="N10" i="2"/>
  <c r="O2" i="1"/>
  <c r="P2" i="1" s="1"/>
  <c r="R2" i="1" s="1"/>
  <c r="O3" i="1"/>
  <c r="P3" i="1" s="1"/>
  <c r="R3" i="1" s="1"/>
  <c r="S3" i="1"/>
  <c r="S2" i="1"/>
  <c r="H44" i="2"/>
  <c r="H43" i="2"/>
  <c r="E45" i="2"/>
  <c r="E44" i="2"/>
  <c r="E43" i="2"/>
  <c r="B45" i="2"/>
  <c r="B44" i="2"/>
  <c r="B43" i="2"/>
  <c r="H38" i="2"/>
  <c r="H37" i="2"/>
  <c r="E37" i="2"/>
  <c r="E38" i="2"/>
  <c r="B38" i="2"/>
  <c r="B37" i="2"/>
  <c r="B33" i="2"/>
  <c r="B31" i="2" s="1"/>
  <c r="E33" i="2"/>
  <c r="E32" i="2"/>
  <c r="E31" i="2"/>
  <c r="B25" i="2"/>
  <c r="B24" i="2"/>
  <c r="B23" i="2"/>
  <c r="E26" i="2"/>
  <c r="E25" i="2"/>
  <c r="E24" i="2"/>
  <c r="E23" i="2"/>
  <c r="Q5" i="2"/>
  <c r="Q6" i="2"/>
  <c r="Q11" i="2"/>
  <c r="Q10" i="2"/>
  <c r="B6" i="2"/>
  <c r="B5" i="2"/>
  <c r="B12" i="2"/>
  <c r="B10" i="2"/>
  <c r="B18" i="2"/>
  <c r="B17" i="2"/>
  <c r="B16" i="2"/>
  <c r="N9" i="2" l="1"/>
  <c r="E6" i="2"/>
  <c r="K9" i="2"/>
  <c r="K5" i="2"/>
  <c r="E8" i="2"/>
  <c r="E5" i="2"/>
  <c r="N5" i="2"/>
  <c r="N6" i="2"/>
  <c r="K6" i="2"/>
  <c r="K7" i="2"/>
  <c r="K8" i="2"/>
  <c r="E46" i="2"/>
  <c r="E39" i="2"/>
  <c r="H39" i="2"/>
  <c r="B39" i="2"/>
  <c r="E34" i="2"/>
  <c r="B46" i="2"/>
  <c r="B26" i="2"/>
  <c r="E27" i="2"/>
  <c r="B32" i="2"/>
  <c r="H45" i="2"/>
  <c r="B13" i="2"/>
  <c r="H9" i="2"/>
  <c r="E11" i="2"/>
  <c r="H10" i="2"/>
  <c r="H11" i="2"/>
  <c r="E7" i="2"/>
  <c r="Q12" i="2"/>
  <c r="E9" i="2"/>
  <c r="H12" i="2"/>
  <c r="H5" i="2"/>
  <c r="H6" i="2"/>
  <c r="H7" i="2"/>
  <c r="B7" i="2"/>
  <c r="Q7" i="2"/>
  <c r="B19" i="2"/>
  <c r="E12" i="2" l="1"/>
  <c r="N11" i="2"/>
  <c r="K10" i="2"/>
  <c r="H13" i="2"/>
</calcChain>
</file>

<file path=xl/sharedStrings.xml><?xml version="1.0" encoding="utf-8"?>
<sst xmlns="http://schemas.openxmlformats.org/spreadsheetml/2006/main" count="532" uniqueCount="271">
  <si>
    <t>sample</t>
  </si>
  <si>
    <t>section</t>
  </si>
  <si>
    <t>cytassist_sn</t>
  </si>
  <si>
    <t>cytassist_window</t>
  </si>
  <si>
    <t>cq</t>
  </si>
  <si>
    <t>si-pcr_cycles</t>
  </si>
  <si>
    <t>index</t>
  </si>
  <si>
    <t>spots_selected</t>
  </si>
  <si>
    <t>code</t>
  </si>
  <si>
    <t>137-1</t>
  </si>
  <si>
    <t>137-2</t>
  </si>
  <si>
    <t>date</t>
  </si>
  <si>
    <t>V55M10-405</t>
  </si>
  <si>
    <t>A</t>
  </si>
  <si>
    <t>B</t>
  </si>
  <si>
    <t xml:space="preserve">N = </t>
  </si>
  <si>
    <t>Decrosslinking buffer</t>
  </si>
  <si>
    <t>Blocking buffer</t>
  </si>
  <si>
    <t>Wash buffer</t>
  </si>
  <si>
    <t>TrueBlack solution</t>
  </si>
  <si>
    <t>Mounting media</t>
  </si>
  <si>
    <t>1x PBS</t>
  </si>
  <si>
    <t>10% Tween-20</t>
  </si>
  <si>
    <t>H2O</t>
  </si>
  <si>
    <t>Block/Stain buffer</t>
  </si>
  <si>
    <t>RNase inhibitor</t>
  </si>
  <si>
    <t>Decrosslinking solution</t>
  </si>
  <si>
    <t>100% glycerol</t>
  </si>
  <si>
    <t>SlowFade Diamond</t>
  </si>
  <si>
    <t>Total</t>
  </si>
  <si>
    <t>1X PBS</t>
  </si>
  <si>
    <t>TrueBlack stock</t>
  </si>
  <si>
    <t>Rnase inhibitor</t>
  </si>
  <si>
    <t>Dk anti Ck AF488</t>
  </si>
  <si>
    <t>Dk anti Rb AF555</t>
  </si>
  <si>
    <t>Dk anti Gt AF594</t>
  </si>
  <si>
    <t>Dk anti Ms AF647</t>
  </si>
  <si>
    <t>Dk anti Rt DL750</t>
  </si>
  <si>
    <t>DAPI</t>
  </si>
  <si>
    <t>Ck anti MAP2</t>
  </si>
  <si>
    <t>Rb anti TDP-43</t>
  </si>
  <si>
    <t>Gt anti IBA1</t>
  </si>
  <si>
    <t>Ms anti pGA</t>
  </si>
  <si>
    <t>Rt anti pTDP-43</t>
  </si>
  <si>
    <t>IF staining</t>
  </si>
  <si>
    <t>Hybridization</t>
  </si>
  <si>
    <t>Post-hybridization &amp; CytAssist</t>
  </si>
  <si>
    <t>Pre-hybridization mix</t>
  </si>
  <si>
    <t>Hybridization mix</t>
  </si>
  <si>
    <t>FFPE Hyb Buffer</t>
  </si>
  <si>
    <t>RHS probes</t>
  </si>
  <si>
    <t>LHS probes</t>
  </si>
  <si>
    <t>10X PBS</t>
  </si>
  <si>
    <t>Probe ligation mix</t>
  </si>
  <si>
    <t>Probe ligation enzyme</t>
  </si>
  <si>
    <t>2X probe ligation buffer</t>
  </si>
  <si>
    <t>20X SSC</t>
  </si>
  <si>
    <t>2X SSC (in mLs)</t>
  </si>
  <si>
    <t>Eosin</t>
  </si>
  <si>
    <t>Eosin solution</t>
  </si>
  <si>
    <t>Extension mix</t>
  </si>
  <si>
    <t>Extension buffer</t>
  </si>
  <si>
    <t>Extension enzyme</t>
  </si>
  <si>
    <t>Elution mix</t>
  </si>
  <si>
    <t>KOH</t>
  </si>
  <si>
    <t>Library preparation</t>
  </si>
  <si>
    <t>Pre-amp mix</t>
  </si>
  <si>
    <t>Amp Mix B</t>
  </si>
  <si>
    <t>TS Primer Mix B</t>
  </si>
  <si>
    <t>qPCR mix</t>
  </si>
  <si>
    <t>SYBR green</t>
  </si>
  <si>
    <t>Diluted TS primer mix</t>
  </si>
  <si>
    <t>SI-PCR amp mix</t>
  </si>
  <si>
    <t>bioanalyzer_size</t>
  </si>
  <si>
    <t>qubit_conc</t>
  </si>
  <si>
    <t>nm</t>
  </si>
  <si>
    <t>df</t>
  </si>
  <si>
    <t>ul_into_pool</t>
  </si>
  <si>
    <t>ul_buffer</t>
  </si>
  <si>
    <t>ul_sample</t>
  </si>
  <si>
    <t>F1</t>
  </si>
  <si>
    <t>F2</t>
  </si>
  <si>
    <t>Primary antibodies (CNS)</t>
  </si>
  <si>
    <t>Secondary antibodies (CNS)</t>
  </si>
  <si>
    <t>Primary antibodies (muscle)</t>
  </si>
  <si>
    <t>Secondary antibodies (muscle)</t>
  </si>
  <si>
    <t>Ms anti MYH1</t>
  </si>
  <si>
    <t>Rb anti MYH7</t>
  </si>
  <si>
    <t>146-1</t>
  </si>
  <si>
    <t>146-2</t>
  </si>
  <si>
    <t>146-3</t>
  </si>
  <si>
    <t>146-4</t>
  </si>
  <si>
    <t>146-5</t>
  </si>
  <si>
    <t>146-6</t>
  </si>
  <si>
    <t>146-7</t>
  </si>
  <si>
    <t>146-8</t>
  </si>
  <si>
    <t>Dk anti Rb AF488</t>
  </si>
  <si>
    <t>GWF1831</t>
  </si>
  <si>
    <t>GBB2127</t>
  </si>
  <si>
    <t>GWF2050</t>
  </si>
  <si>
    <t>GBB2316</t>
  </si>
  <si>
    <t>GWF1947</t>
  </si>
  <si>
    <t>GBB1813</t>
  </si>
  <si>
    <t>GWF1937</t>
  </si>
  <si>
    <t>GBB1913</t>
  </si>
  <si>
    <t>V55M10-311</t>
  </si>
  <si>
    <t>V55M10-367</t>
  </si>
  <si>
    <t>147-1</t>
  </si>
  <si>
    <t>147-2</t>
  </si>
  <si>
    <t>147-3</t>
  </si>
  <si>
    <t>147-4</t>
  </si>
  <si>
    <t>147-5</t>
  </si>
  <si>
    <t>147-6</t>
  </si>
  <si>
    <t>147-7</t>
  </si>
  <si>
    <t>147-8</t>
  </si>
  <si>
    <t>V55M10-321</t>
  </si>
  <si>
    <t>V55M10-396</t>
  </si>
  <si>
    <t>V55M10-360</t>
  </si>
  <si>
    <t>V55M10-389</t>
  </si>
  <si>
    <t>V55M10-393</t>
  </si>
  <si>
    <t>V55M10-347</t>
  </si>
  <si>
    <t>AN61-1</t>
  </si>
  <si>
    <t>H1-39JHYKJ</t>
  </si>
  <si>
    <t>A1</t>
  </si>
  <si>
    <t>D1</t>
  </si>
  <si>
    <t>A17</t>
  </si>
  <si>
    <t>block</t>
  </si>
  <si>
    <t>GBB1817</t>
  </si>
  <si>
    <t>A3</t>
  </si>
  <si>
    <t>GBB2210</t>
  </si>
  <si>
    <t>A10</t>
  </si>
  <si>
    <t>GWF2054</t>
  </si>
  <si>
    <t>4C</t>
  </si>
  <si>
    <t>4B</t>
  </si>
  <si>
    <t>GWF1833</t>
  </si>
  <si>
    <t>GBB2312</t>
  </si>
  <si>
    <t>GBB2108</t>
  </si>
  <si>
    <t>A6</t>
  </si>
  <si>
    <t>GBB1819</t>
  </si>
  <si>
    <t>A7</t>
  </si>
  <si>
    <t>A5</t>
  </si>
  <si>
    <t>AN67-1</t>
  </si>
  <si>
    <t>AN67-2</t>
  </si>
  <si>
    <t>AN67-3</t>
  </si>
  <si>
    <t>AN67-4</t>
  </si>
  <si>
    <t>AN67-5</t>
  </si>
  <si>
    <t>AN67-6</t>
  </si>
  <si>
    <t>AN67-7</t>
  </si>
  <si>
    <t>AN67-8</t>
  </si>
  <si>
    <t>GWF2158</t>
  </si>
  <si>
    <t>GBB2112</t>
  </si>
  <si>
    <t>GBB1708</t>
  </si>
  <si>
    <t>GBB2213</t>
  </si>
  <si>
    <t>GBB2311</t>
  </si>
  <si>
    <t>GWF2156</t>
  </si>
  <si>
    <t>GBB2314</t>
  </si>
  <si>
    <t>V55D08-368</t>
  </si>
  <si>
    <t>V55D08-322</t>
  </si>
  <si>
    <t>V55D08-301</t>
  </si>
  <si>
    <t>V55D08-363</t>
  </si>
  <si>
    <t>E1</t>
  </si>
  <si>
    <t>E2</t>
  </si>
  <si>
    <t>E3</t>
  </si>
  <si>
    <t>E4</t>
  </si>
  <si>
    <t>E5</t>
  </si>
  <si>
    <t>E6</t>
  </si>
  <si>
    <t>E7</t>
  </si>
  <si>
    <t>E8</t>
  </si>
  <si>
    <t>GBB1607</t>
  </si>
  <si>
    <t>GBB2201</t>
  </si>
  <si>
    <t>JSB163-1</t>
  </si>
  <si>
    <t>JSB163-2</t>
  </si>
  <si>
    <t>AN68-2</t>
  </si>
  <si>
    <t>AN68-1</t>
  </si>
  <si>
    <t>D7</t>
  </si>
  <si>
    <t>D8</t>
  </si>
  <si>
    <t>V55V10-352</t>
  </si>
  <si>
    <t>AN69-1</t>
  </si>
  <si>
    <t>AN69-2</t>
  </si>
  <si>
    <t>AN69-3</t>
  </si>
  <si>
    <t>AN69-4</t>
  </si>
  <si>
    <t>AN69-5</t>
  </si>
  <si>
    <t>AN69-6</t>
  </si>
  <si>
    <t>AN69-7</t>
  </si>
  <si>
    <t>AN69-8</t>
  </si>
  <si>
    <t>JSB164-1</t>
  </si>
  <si>
    <t>JSB164-2</t>
  </si>
  <si>
    <t>JSB164-3</t>
  </si>
  <si>
    <t>JSB164-4</t>
  </si>
  <si>
    <t>JSB164-5</t>
  </si>
  <si>
    <t>JSB164-6</t>
  </si>
  <si>
    <t>JSB164-7</t>
  </si>
  <si>
    <t>JSB164-8</t>
  </si>
  <si>
    <t>AN72-1</t>
  </si>
  <si>
    <t>AN72-2</t>
  </si>
  <si>
    <t>AN72-3</t>
  </si>
  <si>
    <t>AN72-4</t>
  </si>
  <si>
    <t>AN72-5</t>
  </si>
  <si>
    <t>AN72-6</t>
  </si>
  <si>
    <t>AN72-7</t>
  </si>
  <si>
    <t>AN72-8</t>
  </si>
  <si>
    <t>B3</t>
  </si>
  <si>
    <t>A12</t>
  </si>
  <si>
    <t>GBB1807</t>
  </si>
  <si>
    <t>20B</t>
  </si>
  <si>
    <t>Pons</t>
  </si>
  <si>
    <t>12-68</t>
  </si>
  <si>
    <t>11-87</t>
  </si>
  <si>
    <t>V55M10-361</t>
  </si>
  <si>
    <t>V46M11-393</t>
  </si>
  <si>
    <t>V55M10-365</t>
  </si>
  <si>
    <t>V56F23-361</t>
  </si>
  <si>
    <t>10B</t>
  </si>
  <si>
    <t>A4</t>
  </si>
  <si>
    <t>A8</t>
  </si>
  <si>
    <t>A11</t>
  </si>
  <si>
    <t>B15</t>
  </si>
  <si>
    <t>B14</t>
  </si>
  <si>
    <t>V55D08-285</t>
  </si>
  <si>
    <t>V55D08-371</t>
  </si>
  <si>
    <t>V55D08-396</t>
  </si>
  <si>
    <t>V55D08-407</t>
  </si>
  <si>
    <t>V56F23-311</t>
  </si>
  <si>
    <t>V56F23-332</t>
  </si>
  <si>
    <t>V56F23-368</t>
  </si>
  <si>
    <t>V56F23-334</t>
  </si>
  <si>
    <t>10C</t>
  </si>
  <si>
    <t>A13</t>
  </si>
  <si>
    <t>tissue</t>
  </si>
  <si>
    <t>mcx</t>
  </si>
  <si>
    <t>musc</t>
  </si>
  <si>
    <t>sc</t>
  </si>
  <si>
    <t>F7</t>
  </si>
  <si>
    <t>F8</t>
  </si>
  <si>
    <t>F9</t>
  </si>
  <si>
    <t>F10</t>
  </si>
  <si>
    <t>F11</t>
  </si>
  <si>
    <t>F12</t>
  </si>
  <si>
    <t>H12</t>
  </si>
  <si>
    <t>G9</t>
  </si>
  <si>
    <t>H1</t>
  </si>
  <si>
    <t>H2</t>
  </si>
  <si>
    <t>H3</t>
  </si>
  <si>
    <t>H4</t>
  </si>
  <si>
    <t>H5</t>
  </si>
  <si>
    <t>H6</t>
  </si>
  <si>
    <t>H7</t>
  </si>
  <si>
    <t>H8</t>
  </si>
  <si>
    <t>G1</t>
  </si>
  <si>
    <t>G2</t>
  </si>
  <si>
    <t>G3</t>
  </si>
  <si>
    <t>G4</t>
  </si>
  <si>
    <t>G5</t>
  </si>
  <si>
    <t>G6</t>
  </si>
  <si>
    <t>G7</t>
  </si>
  <si>
    <t>G8</t>
  </si>
  <si>
    <t>JSB171-1</t>
  </si>
  <si>
    <t>JSB171-2</t>
  </si>
  <si>
    <t>JSB171-3</t>
  </si>
  <si>
    <t>JSB171-4</t>
  </si>
  <si>
    <t>JSB171-5</t>
  </si>
  <si>
    <t>JSB171-6</t>
  </si>
  <si>
    <t>JSB171-7</t>
  </si>
  <si>
    <t>JSB171-8</t>
  </si>
  <si>
    <t>JSB171-9</t>
  </si>
  <si>
    <t>E9</t>
  </si>
  <si>
    <t>V56F23-309</t>
  </si>
  <si>
    <t>V56F23-348</t>
  </si>
  <si>
    <t>V56F23-322</t>
  </si>
  <si>
    <t>V56F23-329</t>
  </si>
  <si>
    <t>V56F23-339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</si>
</sst>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0" fillId="0" borderId="8" xfId="0" applyBorder="1"/>
    <xf numFmtId="2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678F-5950-4B3C-9CF7-0F2CA191A3B8}">
  <dimension ref="A1:S66"/>
  <sheetViews>
    <sheetView tabSelected="1" topLeftCell="A34" workbookViewId="0">
      <selection activeCell="G61" sqref="G61"/>
    </sheetView>
  </sheetViews>
  <sheetFormatPr defaultRowHeight="15" x14ac:dyDescent="0.25"/>
  <cols>
    <col min="5" max="5" width="10.5703125" bestFit="1" customWidth="1"/>
    <col min="6" max="6" width="10.5703125" customWidth="1"/>
    <col min="7" max="7" width="13.140625" customWidth="1"/>
    <col min="12" max="12" width="11" bestFit="1" customWidth="1"/>
    <col min="14" max="14" width="10" bestFit="1" customWidth="1"/>
    <col min="21" max="21" width="11" bestFit="1" customWidth="1"/>
  </cols>
  <sheetData>
    <row r="1" spans="1:19" x14ac:dyDescent="0.25">
      <c r="A1" t="s">
        <v>8</v>
      </c>
      <c r="B1" t="s">
        <v>0</v>
      </c>
      <c r="C1" t="s">
        <v>126</v>
      </c>
      <c r="D1" t="s">
        <v>1</v>
      </c>
      <c r="E1" t="s">
        <v>11</v>
      </c>
      <c r="F1" t="s">
        <v>228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73</v>
      </c>
      <c r="N1" t="s">
        <v>74</v>
      </c>
      <c r="O1" t="s">
        <v>75</v>
      </c>
      <c r="P1" t="s">
        <v>76</v>
      </c>
      <c r="Q1" t="s">
        <v>79</v>
      </c>
      <c r="R1" t="s">
        <v>78</v>
      </c>
      <c r="S1" t="s">
        <v>77</v>
      </c>
    </row>
    <row r="2" spans="1:19" x14ac:dyDescent="0.25">
      <c r="A2" t="s">
        <v>9</v>
      </c>
      <c r="E2" s="1">
        <v>45971</v>
      </c>
      <c r="F2" s="1" t="s">
        <v>229</v>
      </c>
      <c r="G2" t="s">
        <v>12</v>
      </c>
      <c r="H2" t="s">
        <v>13</v>
      </c>
      <c r="I2">
        <v>16</v>
      </c>
      <c r="J2">
        <v>18</v>
      </c>
      <c r="K2" t="s">
        <v>80</v>
      </c>
      <c r="L2">
        <v>11163</v>
      </c>
      <c r="M2">
        <v>246</v>
      </c>
      <c r="N2">
        <v>15.1</v>
      </c>
      <c r="O2">
        <f>(N2/(660*M2))*1000000</f>
        <v>93.003202759300322</v>
      </c>
      <c r="P2">
        <f>O2/1.5</f>
        <v>62.002135172866879</v>
      </c>
      <c r="Q2">
        <v>2</v>
      </c>
      <c r="R2">
        <f>(P2*Q2)-Q2</f>
        <v>122.00427034573376</v>
      </c>
      <c r="S2">
        <f>L2/200</f>
        <v>55.814999999999998</v>
      </c>
    </row>
    <row r="3" spans="1:19" x14ac:dyDescent="0.25">
      <c r="A3" t="s">
        <v>10</v>
      </c>
      <c r="E3" s="1">
        <v>45971</v>
      </c>
      <c r="F3" s="1" t="s">
        <v>229</v>
      </c>
      <c r="G3" t="s">
        <v>12</v>
      </c>
      <c r="H3" t="s">
        <v>14</v>
      </c>
      <c r="I3">
        <v>16</v>
      </c>
      <c r="J3">
        <v>18</v>
      </c>
      <c r="K3" t="s">
        <v>81</v>
      </c>
      <c r="L3">
        <v>11873</v>
      </c>
      <c r="M3">
        <v>245</v>
      </c>
      <c r="N3">
        <v>19</v>
      </c>
      <c r="O3">
        <f>(N3/(660*M3))*1000000</f>
        <v>117.50154607297463</v>
      </c>
      <c r="P3">
        <f>O3/1.5</f>
        <v>78.334364048649761</v>
      </c>
      <c r="Q3">
        <v>2</v>
      </c>
      <c r="R3">
        <f>(P3*Q3)-Q3</f>
        <v>154.66872809729952</v>
      </c>
      <c r="S3">
        <f>L3/200</f>
        <v>59.365000000000002</v>
      </c>
    </row>
    <row r="4" spans="1:19" x14ac:dyDescent="0.25">
      <c r="A4" t="s">
        <v>88</v>
      </c>
      <c r="B4" t="s">
        <v>97</v>
      </c>
      <c r="C4" t="s">
        <v>133</v>
      </c>
      <c r="D4">
        <v>6</v>
      </c>
      <c r="E4" s="1">
        <v>46062</v>
      </c>
      <c r="F4" s="1" t="s">
        <v>229</v>
      </c>
      <c r="G4" t="s">
        <v>105</v>
      </c>
      <c r="H4" t="s">
        <v>13</v>
      </c>
      <c r="I4">
        <v>10</v>
      </c>
      <c r="J4">
        <f>I4+2</f>
        <v>12</v>
      </c>
      <c r="L4">
        <v>12180</v>
      </c>
    </row>
    <row r="5" spans="1:19" x14ac:dyDescent="0.25">
      <c r="A5" t="s">
        <v>89</v>
      </c>
      <c r="B5" t="s">
        <v>98</v>
      </c>
      <c r="C5" t="s">
        <v>139</v>
      </c>
      <c r="D5">
        <v>6</v>
      </c>
      <c r="E5" s="1">
        <v>46062</v>
      </c>
      <c r="F5" s="1" t="s">
        <v>229</v>
      </c>
      <c r="G5" t="s">
        <v>105</v>
      </c>
      <c r="H5" t="s">
        <v>14</v>
      </c>
      <c r="I5">
        <v>10</v>
      </c>
      <c r="J5">
        <f t="shared" ref="J5:J19" si="0">I5+2</f>
        <v>12</v>
      </c>
      <c r="L5">
        <v>13632</v>
      </c>
    </row>
    <row r="6" spans="1:19" x14ac:dyDescent="0.25">
      <c r="A6" t="s">
        <v>90</v>
      </c>
      <c r="B6" t="s">
        <v>99</v>
      </c>
      <c r="C6" t="s">
        <v>133</v>
      </c>
      <c r="D6">
        <v>5</v>
      </c>
      <c r="E6" s="1">
        <v>46062</v>
      </c>
      <c r="F6" s="1" t="s">
        <v>229</v>
      </c>
      <c r="G6" t="s">
        <v>106</v>
      </c>
      <c r="H6" t="s">
        <v>13</v>
      </c>
      <c r="I6">
        <v>13</v>
      </c>
      <c r="J6">
        <f t="shared" si="0"/>
        <v>15</v>
      </c>
    </row>
    <row r="7" spans="1:19" x14ac:dyDescent="0.25">
      <c r="A7" t="s">
        <v>91</v>
      </c>
      <c r="B7" t="s">
        <v>100</v>
      </c>
      <c r="C7" t="s">
        <v>128</v>
      </c>
      <c r="D7">
        <v>5</v>
      </c>
      <c r="E7" s="1">
        <v>46062</v>
      </c>
      <c r="F7" s="1" t="s">
        <v>229</v>
      </c>
      <c r="G7" t="s">
        <v>106</v>
      </c>
      <c r="H7" t="s">
        <v>14</v>
      </c>
      <c r="I7">
        <v>12</v>
      </c>
      <c r="J7">
        <f t="shared" si="0"/>
        <v>14</v>
      </c>
      <c r="L7">
        <v>12071</v>
      </c>
    </row>
    <row r="8" spans="1:19" x14ac:dyDescent="0.25">
      <c r="A8" t="s">
        <v>92</v>
      </c>
      <c r="B8" t="s">
        <v>101</v>
      </c>
      <c r="C8" t="s">
        <v>133</v>
      </c>
      <c r="D8">
        <v>7</v>
      </c>
      <c r="E8" s="1">
        <v>46062</v>
      </c>
      <c r="F8" s="1" t="s">
        <v>229</v>
      </c>
      <c r="G8" t="s">
        <v>115</v>
      </c>
      <c r="H8" t="s">
        <v>13</v>
      </c>
      <c r="I8">
        <v>12</v>
      </c>
      <c r="J8">
        <f t="shared" si="0"/>
        <v>14</v>
      </c>
      <c r="L8">
        <v>9495</v>
      </c>
    </row>
    <row r="9" spans="1:19" x14ac:dyDescent="0.25">
      <c r="A9" t="s">
        <v>93</v>
      </c>
      <c r="B9" t="s">
        <v>102</v>
      </c>
      <c r="C9" t="s">
        <v>140</v>
      </c>
      <c r="D9">
        <v>6</v>
      </c>
      <c r="E9" s="1">
        <v>46062</v>
      </c>
      <c r="F9" s="1" t="s">
        <v>229</v>
      </c>
      <c r="G9" t="s">
        <v>115</v>
      </c>
      <c r="H9" t="s">
        <v>14</v>
      </c>
      <c r="I9">
        <v>11</v>
      </c>
      <c r="J9">
        <f t="shared" si="0"/>
        <v>13</v>
      </c>
      <c r="L9">
        <v>11195</v>
      </c>
    </row>
    <row r="10" spans="1:19" x14ac:dyDescent="0.25">
      <c r="A10" t="s">
        <v>94</v>
      </c>
      <c r="B10" t="s">
        <v>103</v>
      </c>
      <c r="C10" t="s">
        <v>133</v>
      </c>
      <c r="D10">
        <v>2</v>
      </c>
      <c r="E10" s="1">
        <v>46062</v>
      </c>
      <c r="F10" s="1" t="s">
        <v>229</v>
      </c>
      <c r="G10" t="s">
        <v>116</v>
      </c>
      <c r="H10" t="s">
        <v>13</v>
      </c>
      <c r="I10">
        <v>12</v>
      </c>
      <c r="J10">
        <f t="shared" si="0"/>
        <v>14</v>
      </c>
      <c r="L10">
        <v>12279</v>
      </c>
    </row>
    <row r="11" spans="1:19" x14ac:dyDescent="0.25">
      <c r="A11" t="s">
        <v>95</v>
      </c>
      <c r="B11" t="s">
        <v>104</v>
      </c>
      <c r="C11" t="s">
        <v>128</v>
      </c>
      <c r="D11">
        <v>4</v>
      </c>
      <c r="E11" s="1">
        <v>46062</v>
      </c>
      <c r="F11" s="1" t="s">
        <v>229</v>
      </c>
      <c r="G11" t="s">
        <v>116</v>
      </c>
      <c r="H11" t="s">
        <v>14</v>
      </c>
      <c r="I11">
        <v>12</v>
      </c>
      <c r="J11">
        <f t="shared" si="0"/>
        <v>14</v>
      </c>
      <c r="L11">
        <v>10478</v>
      </c>
    </row>
    <row r="12" spans="1:19" x14ac:dyDescent="0.25">
      <c r="A12" t="s">
        <v>107</v>
      </c>
      <c r="B12" t="s">
        <v>127</v>
      </c>
      <c r="C12" t="s">
        <v>128</v>
      </c>
      <c r="D12">
        <v>7</v>
      </c>
      <c r="F12" s="1" t="s">
        <v>229</v>
      </c>
      <c r="G12" t="s">
        <v>117</v>
      </c>
      <c r="H12" t="s">
        <v>13</v>
      </c>
      <c r="I12">
        <v>12</v>
      </c>
      <c r="J12">
        <f t="shared" si="0"/>
        <v>14</v>
      </c>
      <c r="L12">
        <v>12620</v>
      </c>
    </row>
    <row r="13" spans="1:19" x14ac:dyDescent="0.25">
      <c r="A13" t="s">
        <v>108</v>
      </c>
      <c r="B13" t="s">
        <v>129</v>
      </c>
      <c r="C13" t="s">
        <v>130</v>
      </c>
      <c r="D13">
        <v>5</v>
      </c>
      <c r="F13" s="1" t="s">
        <v>229</v>
      </c>
      <c r="G13" t="s">
        <v>117</v>
      </c>
      <c r="H13" t="s">
        <v>14</v>
      </c>
      <c r="I13">
        <v>11</v>
      </c>
      <c r="J13">
        <f t="shared" si="0"/>
        <v>13</v>
      </c>
      <c r="L13">
        <v>12992</v>
      </c>
    </row>
    <row r="14" spans="1:19" x14ac:dyDescent="0.25">
      <c r="A14" t="s">
        <v>109</v>
      </c>
      <c r="B14" t="s">
        <v>131</v>
      </c>
      <c r="C14" t="s">
        <v>132</v>
      </c>
      <c r="D14">
        <v>6</v>
      </c>
      <c r="F14" s="1" t="s">
        <v>229</v>
      </c>
      <c r="G14" t="s">
        <v>118</v>
      </c>
      <c r="H14" t="s">
        <v>13</v>
      </c>
      <c r="I14">
        <v>13</v>
      </c>
      <c r="J14">
        <f t="shared" si="0"/>
        <v>15</v>
      </c>
      <c r="L14">
        <v>13025</v>
      </c>
    </row>
    <row r="15" spans="1:19" x14ac:dyDescent="0.25">
      <c r="A15" t="s">
        <v>110</v>
      </c>
      <c r="B15" t="s">
        <v>135</v>
      </c>
      <c r="C15" t="s">
        <v>128</v>
      </c>
      <c r="D15">
        <v>7</v>
      </c>
      <c r="F15" s="1" t="s">
        <v>229</v>
      </c>
      <c r="G15" t="s">
        <v>118</v>
      </c>
      <c r="H15" t="s">
        <v>14</v>
      </c>
      <c r="I15">
        <v>12</v>
      </c>
      <c r="J15">
        <f t="shared" si="0"/>
        <v>14</v>
      </c>
      <c r="L15">
        <v>8362</v>
      </c>
    </row>
    <row r="16" spans="1:19" x14ac:dyDescent="0.25">
      <c r="A16" t="s">
        <v>111</v>
      </c>
      <c r="B16" t="s">
        <v>134</v>
      </c>
      <c r="C16" t="s">
        <v>133</v>
      </c>
      <c r="D16">
        <v>8</v>
      </c>
      <c r="F16" s="1" t="s">
        <v>229</v>
      </c>
      <c r="G16" t="s">
        <v>119</v>
      </c>
      <c r="H16" t="s">
        <v>13</v>
      </c>
      <c r="I16">
        <v>13</v>
      </c>
      <c r="J16">
        <f t="shared" si="0"/>
        <v>15</v>
      </c>
      <c r="L16">
        <v>13253</v>
      </c>
    </row>
    <row r="17" spans="1:12" x14ac:dyDescent="0.25">
      <c r="A17" t="s">
        <v>112</v>
      </c>
      <c r="B17" t="s">
        <v>136</v>
      </c>
      <c r="C17" t="s">
        <v>137</v>
      </c>
      <c r="D17">
        <v>6</v>
      </c>
      <c r="F17" s="1" t="s">
        <v>229</v>
      </c>
      <c r="G17" t="s">
        <v>119</v>
      </c>
      <c r="H17" t="s">
        <v>14</v>
      </c>
      <c r="I17">
        <v>12</v>
      </c>
      <c r="J17">
        <f t="shared" si="0"/>
        <v>14</v>
      </c>
      <c r="L17">
        <v>11812</v>
      </c>
    </row>
    <row r="18" spans="1:12" x14ac:dyDescent="0.25">
      <c r="A18" t="s">
        <v>113</v>
      </c>
      <c r="B18" t="s">
        <v>104</v>
      </c>
      <c r="C18" t="s">
        <v>125</v>
      </c>
      <c r="D18">
        <v>3</v>
      </c>
      <c r="F18" s="1" t="s">
        <v>229</v>
      </c>
      <c r="G18" t="s">
        <v>120</v>
      </c>
      <c r="H18" t="s">
        <v>13</v>
      </c>
      <c r="I18">
        <v>15</v>
      </c>
      <c r="J18">
        <f t="shared" si="0"/>
        <v>17</v>
      </c>
    </row>
    <row r="19" spans="1:12" x14ac:dyDescent="0.25">
      <c r="A19" t="s">
        <v>114</v>
      </c>
      <c r="B19" t="s">
        <v>138</v>
      </c>
      <c r="C19" t="s">
        <v>125</v>
      </c>
      <c r="D19">
        <v>3</v>
      </c>
      <c r="F19" s="1" t="s">
        <v>229</v>
      </c>
      <c r="G19" t="s">
        <v>120</v>
      </c>
      <c r="H19" t="s">
        <v>14</v>
      </c>
      <c r="I19">
        <v>16</v>
      </c>
      <c r="J19">
        <f t="shared" si="0"/>
        <v>18</v>
      </c>
      <c r="L19">
        <v>7710</v>
      </c>
    </row>
    <row r="20" spans="1:12" x14ac:dyDescent="0.25">
      <c r="A20" t="s">
        <v>121</v>
      </c>
      <c r="F20" s="1" t="s">
        <v>229</v>
      </c>
      <c r="G20" t="s">
        <v>122</v>
      </c>
      <c r="H20" t="s">
        <v>123</v>
      </c>
      <c r="L20">
        <v>671913</v>
      </c>
    </row>
    <row r="21" spans="1:12" x14ac:dyDescent="0.25">
      <c r="A21" t="s">
        <v>121</v>
      </c>
      <c r="F21" s="1" t="s">
        <v>229</v>
      </c>
      <c r="G21" t="s">
        <v>122</v>
      </c>
      <c r="H21" t="s">
        <v>124</v>
      </c>
      <c r="L21">
        <v>694563</v>
      </c>
    </row>
    <row r="22" spans="1:12" x14ac:dyDescent="0.25">
      <c r="A22" t="s">
        <v>141</v>
      </c>
      <c r="B22" t="s">
        <v>149</v>
      </c>
      <c r="E22" s="1">
        <v>46140</v>
      </c>
      <c r="F22" s="1" t="s">
        <v>229</v>
      </c>
      <c r="G22" t="s">
        <v>156</v>
      </c>
      <c r="H22" t="s">
        <v>13</v>
      </c>
      <c r="I22">
        <f>J22-2</f>
        <v>10</v>
      </c>
      <c r="J22">
        <v>12</v>
      </c>
      <c r="K22" t="s">
        <v>160</v>
      </c>
      <c r="L22">
        <v>12431</v>
      </c>
    </row>
    <row r="23" spans="1:12" x14ac:dyDescent="0.25">
      <c r="A23" t="s">
        <v>142</v>
      </c>
      <c r="B23" t="s">
        <v>150</v>
      </c>
      <c r="E23" s="1">
        <v>46140</v>
      </c>
      <c r="F23" s="1" t="s">
        <v>229</v>
      </c>
      <c r="G23" t="s">
        <v>156</v>
      </c>
      <c r="H23" t="s">
        <v>14</v>
      </c>
      <c r="I23">
        <f t="shared" ref="I23:I29" si="1">J23-2</f>
        <v>9</v>
      </c>
      <c r="J23">
        <v>11</v>
      </c>
      <c r="K23" t="s">
        <v>161</v>
      </c>
      <c r="L23">
        <v>11326</v>
      </c>
    </row>
    <row r="24" spans="1:12" x14ac:dyDescent="0.25">
      <c r="A24" t="s">
        <v>143</v>
      </c>
      <c r="B24" t="s">
        <v>138</v>
      </c>
      <c r="E24" s="1">
        <v>46140</v>
      </c>
      <c r="F24" s="1" t="s">
        <v>229</v>
      </c>
      <c r="G24" t="s">
        <v>157</v>
      </c>
      <c r="H24" t="s">
        <v>13</v>
      </c>
      <c r="I24">
        <f t="shared" si="1"/>
        <v>10</v>
      </c>
      <c r="J24">
        <v>12</v>
      </c>
      <c r="K24" t="s">
        <v>162</v>
      </c>
      <c r="L24">
        <v>9978</v>
      </c>
    </row>
    <row r="25" spans="1:12" x14ac:dyDescent="0.25">
      <c r="A25" t="s">
        <v>144</v>
      </c>
      <c r="B25" t="s">
        <v>151</v>
      </c>
      <c r="E25" s="1">
        <v>46140</v>
      </c>
      <c r="F25" s="1" t="s">
        <v>229</v>
      </c>
      <c r="G25" t="s">
        <v>157</v>
      </c>
      <c r="H25" t="s">
        <v>14</v>
      </c>
      <c r="I25">
        <f t="shared" si="1"/>
        <v>10</v>
      </c>
      <c r="J25">
        <v>12</v>
      </c>
      <c r="K25" t="s">
        <v>163</v>
      </c>
      <c r="L25">
        <v>10958</v>
      </c>
    </row>
    <row r="26" spans="1:12" x14ac:dyDescent="0.25">
      <c r="A26" t="s">
        <v>145</v>
      </c>
      <c r="B26" t="s">
        <v>152</v>
      </c>
      <c r="E26" s="1">
        <v>46140</v>
      </c>
      <c r="F26" s="1" t="s">
        <v>229</v>
      </c>
      <c r="G26" t="s">
        <v>158</v>
      </c>
      <c r="H26" t="s">
        <v>13</v>
      </c>
      <c r="I26">
        <f t="shared" si="1"/>
        <v>12</v>
      </c>
      <c r="J26">
        <v>14</v>
      </c>
      <c r="K26" t="s">
        <v>164</v>
      </c>
      <c r="L26">
        <v>11715</v>
      </c>
    </row>
    <row r="27" spans="1:12" x14ac:dyDescent="0.25">
      <c r="A27" t="s">
        <v>146</v>
      </c>
      <c r="B27" t="s">
        <v>153</v>
      </c>
      <c r="E27" s="1">
        <v>46140</v>
      </c>
      <c r="F27" s="1" t="s">
        <v>229</v>
      </c>
      <c r="G27" t="s">
        <v>158</v>
      </c>
      <c r="H27" t="s">
        <v>14</v>
      </c>
      <c r="I27">
        <f t="shared" si="1"/>
        <v>9</v>
      </c>
      <c r="J27">
        <v>11</v>
      </c>
      <c r="K27" t="s">
        <v>165</v>
      </c>
      <c r="L27">
        <v>9395</v>
      </c>
    </row>
    <row r="28" spans="1:12" x14ac:dyDescent="0.25">
      <c r="A28" t="s">
        <v>147</v>
      </c>
      <c r="B28" t="s">
        <v>154</v>
      </c>
      <c r="E28" s="1">
        <v>46140</v>
      </c>
      <c r="F28" s="1" t="s">
        <v>229</v>
      </c>
      <c r="G28" t="s">
        <v>159</v>
      </c>
      <c r="H28" t="s">
        <v>13</v>
      </c>
      <c r="I28">
        <f t="shared" si="1"/>
        <v>11</v>
      </c>
      <c r="J28">
        <v>13</v>
      </c>
      <c r="K28" t="s">
        <v>166</v>
      </c>
      <c r="L28">
        <v>11178</v>
      </c>
    </row>
    <row r="29" spans="1:12" x14ac:dyDescent="0.25">
      <c r="A29" t="s">
        <v>148</v>
      </c>
      <c r="B29" t="s">
        <v>155</v>
      </c>
      <c r="E29" s="1">
        <v>46140</v>
      </c>
      <c r="F29" s="1" t="s">
        <v>229</v>
      </c>
      <c r="G29" t="s">
        <v>159</v>
      </c>
      <c r="H29" t="s">
        <v>14</v>
      </c>
      <c r="I29">
        <f t="shared" si="1"/>
        <v>10</v>
      </c>
      <c r="J29">
        <v>12</v>
      </c>
      <c r="K29" t="s">
        <v>167</v>
      </c>
      <c r="L29">
        <v>8269</v>
      </c>
    </row>
    <row r="30" spans="1:12" x14ac:dyDescent="0.25">
      <c r="A30" t="s">
        <v>170</v>
      </c>
      <c r="B30" t="s">
        <v>168</v>
      </c>
      <c r="D30">
        <v>9</v>
      </c>
      <c r="E30" s="1">
        <v>46153</v>
      </c>
      <c r="F30" s="1" t="s">
        <v>229</v>
      </c>
    </row>
    <row r="31" spans="1:12" x14ac:dyDescent="0.25">
      <c r="A31" t="s">
        <v>171</v>
      </c>
      <c r="B31" t="s">
        <v>169</v>
      </c>
      <c r="D31">
        <v>6</v>
      </c>
      <c r="E31" s="1">
        <v>46153</v>
      </c>
      <c r="F31" s="1" t="s">
        <v>229</v>
      </c>
    </row>
    <row r="32" spans="1:12" x14ac:dyDescent="0.25">
      <c r="A32" t="s">
        <v>173</v>
      </c>
      <c r="B32" t="s">
        <v>168</v>
      </c>
      <c r="C32" t="s">
        <v>201</v>
      </c>
      <c r="D32">
        <v>9</v>
      </c>
      <c r="E32" s="1">
        <v>46153</v>
      </c>
      <c r="F32" s="1" t="s">
        <v>229</v>
      </c>
      <c r="G32" t="s">
        <v>176</v>
      </c>
      <c r="H32" t="s">
        <v>14</v>
      </c>
      <c r="I32">
        <v>13</v>
      </c>
      <c r="J32">
        <v>15</v>
      </c>
      <c r="K32" t="s">
        <v>174</v>
      </c>
      <c r="L32">
        <v>13024</v>
      </c>
    </row>
    <row r="33" spans="1:12" x14ac:dyDescent="0.25">
      <c r="A33" t="s">
        <v>172</v>
      </c>
      <c r="B33" t="s">
        <v>169</v>
      </c>
      <c r="C33" t="s">
        <v>201</v>
      </c>
      <c r="D33">
        <v>6</v>
      </c>
      <c r="E33" s="1">
        <v>46153</v>
      </c>
      <c r="F33" s="1" t="s">
        <v>229</v>
      </c>
      <c r="G33" t="s">
        <v>176</v>
      </c>
      <c r="H33" t="s">
        <v>13</v>
      </c>
      <c r="I33">
        <v>14</v>
      </c>
      <c r="J33">
        <v>16</v>
      </c>
      <c r="K33" t="s">
        <v>175</v>
      </c>
      <c r="L33">
        <v>14071</v>
      </c>
    </row>
    <row r="34" spans="1:12" x14ac:dyDescent="0.25">
      <c r="A34" t="s">
        <v>177</v>
      </c>
      <c r="B34" t="s">
        <v>150</v>
      </c>
      <c r="C34" t="s">
        <v>139</v>
      </c>
      <c r="D34">
        <v>6</v>
      </c>
      <c r="F34" s="1" t="s">
        <v>230</v>
      </c>
      <c r="G34" t="s">
        <v>208</v>
      </c>
      <c r="H34" t="s">
        <v>13</v>
      </c>
      <c r="I34">
        <v>13</v>
      </c>
      <c r="J34">
        <f>I34+2</f>
        <v>15</v>
      </c>
      <c r="K34" t="s">
        <v>248</v>
      </c>
      <c r="L34">
        <v>10729</v>
      </c>
    </row>
    <row r="35" spans="1:12" x14ac:dyDescent="0.25">
      <c r="A35" t="s">
        <v>178</v>
      </c>
      <c r="B35" t="s">
        <v>155</v>
      </c>
      <c r="C35" t="s">
        <v>139</v>
      </c>
      <c r="D35">
        <v>6</v>
      </c>
      <c r="F35" s="1" t="s">
        <v>230</v>
      </c>
      <c r="G35" t="s">
        <v>210</v>
      </c>
      <c r="H35" t="s">
        <v>14</v>
      </c>
      <c r="I35">
        <v>15</v>
      </c>
      <c r="J35">
        <f t="shared" ref="J35:J66" si="2">I35+2</f>
        <v>17</v>
      </c>
      <c r="K35" t="s">
        <v>249</v>
      </c>
      <c r="L35">
        <v>11334</v>
      </c>
    </row>
    <row r="36" spans="1:12" x14ac:dyDescent="0.25">
      <c r="A36" t="s">
        <v>179</v>
      </c>
      <c r="B36" t="s">
        <v>98</v>
      </c>
      <c r="C36" t="s">
        <v>125</v>
      </c>
      <c r="D36">
        <v>7</v>
      </c>
      <c r="F36" s="1" t="s">
        <v>230</v>
      </c>
      <c r="G36" t="s">
        <v>208</v>
      </c>
      <c r="H36" t="s">
        <v>14</v>
      </c>
      <c r="I36">
        <v>14</v>
      </c>
      <c r="J36">
        <f t="shared" si="2"/>
        <v>16</v>
      </c>
      <c r="K36" t="s">
        <v>250</v>
      </c>
      <c r="L36">
        <v>13015</v>
      </c>
    </row>
    <row r="37" spans="1:12" x14ac:dyDescent="0.25">
      <c r="A37" t="s">
        <v>180</v>
      </c>
      <c r="B37" t="s">
        <v>203</v>
      </c>
      <c r="C37" t="s">
        <v>202</v>
      </c>
      <c r="D37">
        <v>6</v>
      </c>
      <c r="F37" s="1" t="s">
        <v>230</v>
      </c>
      <c r="G37" t="s">
        <v>210</v>
      </c>
      <c r="H37" t="s">
        <v>13</v>
      </c>
      <c r="I37">
        <v>15</v>
      </c>
      <c r="J37">
        <f t="shared" si="2"/>
        <v>17</v>
      </c>
      <c r="K37" t="s">
        <v>251</v>
      </c>
      <c r="L37">
        <v>10421</v>
      </c>
    </row>
    <row r="38" spans="1:12" x14ac:dyDescent="0.25">
      <c r="A38" t="s">
        <v>181</v>
      </c>
      <c r="B38" t="s">
        <v>131</v>
      </c>
      <c r="C38" t="s">
        <v>204</v>
      </c>
      <c r="D38">
        <v>5</v>
      </c>
      <c r="F38" s="1" t="s">
        <v>230</v>
      </c>
      <c r="G38" t="s">
        <v>211</v>
      </c>
      <c r="H38" t="s">
        <v>13</v>
      </c>
      <c r="I38">
        <v>14</v>
      </c>
      <c r="J38">
        <f t="shared" si="2"/>
        <v>16</v>
      </c>
      <c r="K38" t="s">
        <v>252</v>
      </c>
      <c r="L38">
        <v>10468</v>
      </c>
    </row>
    <row r="39" spans="1:12" x14ac:dyDescent="0.25">
      <c r="A39" t="s">
        <v>182</v>
      </c>
      <c r="B39" t="s">
        <v>101</v>
      </c>
      <c r="C39" t="s">
        <v>204</v>
      </c>
      <c r="D39">
        <v>6</v>
      </c>
      <c r="F39" s="1" t="s">
        <v>230</v>
      </c>
      <c r="G39" t="s">
        <v>211</v>
      </c>
      <c r="H39" t="s">
        <v>14</v>
      </c>
      <c r="I39">
        <v>14</v>
      </c>
      <c r="J39">
        <f t="shared" si="2"/>
        <v>16</v>
      </c>
      <c r="K39" t="s">
        <v>253</v>
      </c>
      <c r="L39">
        <v>10798</v>
      </c>
    </row>
    <row r="40" spans="1:12" x14ac:dyDescent="0.25">
      <c r="A40" t="s">
        <v>183</v>
      </c>
      <c r="B40" s="16" t="s">
        <v>206</v>
      </c>
      <c r="C40" t="s">
        <v>205</v>
      </c>
      <c r="G40" t="s">
        <v>209</v>
      </c>
      <c r="H40" t="s">
        <v>123</v>
      </c>
      <c r="I40">
        <v>21</v>
      </c>
      <c r="J40">
        <f t="shared" si="2"/>
        <v>23</v>
      </c>
      <c r="K40" t="s">
        <v>254</v>
      </c>
      <c r="L40">
        <v>3579</v>
      </c>
    </row>
    <row r="41" spans="1:12" x14ac:dyDescent="0.25">
      <c r="A41" t="s">
        <v>184</v>
      </c>
      <c r="B41" s="17" t="s">
        <v>207</v>
      </c>
      <c r="C41" t="s">
        <v>205</v>
      </c>
      <c r="G41" t="s">
        <v>209</v>
      </c>
      <c r="H41" t="s">
        <v>124</v>
      </c>
      <c r="I41">
        <v>10</v>
      </c>
      <c r="J41">
        <f t="shared" si="2"/>
        <v>12</v>
      </c>
      <c r="K41" t="s">
        <v>255</v>
      </c>
      <c r="L41">
        <v>4005</v>
      </c>
    </row>
    <row r="42" spans="1:12" x14ac:dyDescent="0.25">
      <c r="A42" t="s">
        <v>185</v>
      </c>
      <c r="B42" t="s">
        <v>97</v>
      </c>
      <c r="C42" t="s">
        <v>212</v>
      </c>
      <c r="D42">
        <v>7</v>
      </c>
      <c r="F42" s="1" t="s">
        <v>231</v>
      </c>
      <c r="G42" t="s">
        <v>219</v>
      </c>
      <c r="H42" t="s">
        <v>13</v>
      </c>
      <c r="I42">
        <v>10</v>
      </c>
      <c r="J42">
        <f t="shared" si="2"/>
        <v>12</v>
      </c>
      <c r="K42" t="s">
        <v>240</v>
      </c>
      <c r="L42">
        <v>8404</v>
      </c>
    </row>
    <row r="43" spans="1:12" x14ac:dyDescent="0.25">
      <c r="A43" t="s">
        <v>186</v>
      </c>
      <c r="B43" t="s">
        <v>155</v>
      </c>
      <c r="C43" t="s">
        <v>213</v>
      </c>
      <c r="D43">
        <v>3</v>
      </c>
      <c r="F43" s="1" t="s">
        <v>231</v>
      </c>
      <c r="G43" t="s">
        <v>219</v>
      </c>
      <c r="H43" t="s">
        <v>14</v>
      </c>
      <c r="I43">
        <v>10</v>
      </c>
      <c r="J43">
        <f t="shared" si="2"/>
        <v>12</v>
      </c>
      <c r="K43" t="s">
        <v>241</v>
      </c>
      <c r="L43">
        <v>12513</v>
      </c>
    </row>
    <row r="44" spans="1:12" x14ac:dyDescent="0.25">
      <c r="A44" t="s">
        <v>187</v>
      </c>
      <c r="B44" t="s">
        <v>150</v>
      </c>
      <c r="C44" t="s">
        <v>214</v>
      </c>
      <c r="D44">
        <v>6</v>
      </c>
      <c r="F44" s="1" t="s">
        <v>231</v>
      </c>
      <c r="G44" t="s">
        <v>218</v>
      </c>
      <c r="H44" t="s">
        <v>13</v>
      </c>
      <c r="I44">
        <v>11</v>
      </c>
      <c r="J44">
        <f t="shared" si="2"/>
        <v>13</v>
      </c>
      <c r="K44" t="s">
        <v>242</v>
      </c>
      <c r="L44">
        <v>9378</v>
      </c>
    </row>
    <row r="45" spans="1:12" x14ac:dyDescent="0.25">
      <c r="A45" t="s">
        <v>188</v>
      </c>
      <c r="B45" t="s">
        <v>102</v>
      </c>
      <c r="C45" t="s">
        <v>215</v>
      </c>
      <c r="D45">
        <v>4</v>
      </c>
      <c r="F45" s="1" t="s">
        <v>231</v>
      </c>
      <c r="G45" t="s">
        <v>218</v>
      </c>
      <c r="H45" t="s">
        <v>14</v>
      </c>
      <c r="I45">
        <v>12</v>
      </c>
      <c r="J45">
        <f t="shared" si="2"/>
        <v>14</v>
      </c>
      <c r="K45" t="s">
        <v>243</v>
      </c>
      <c r="L45">
        <v>7141</v>
      </c>
    </row>
    <row r="46" spans="1:12" x14ac:dyDescent="0.25">
      <c r="A46" t="s">
        <v>189</v>
      </c>
      <c r="B46" t="s">
        <v>153</v>
      </c>
      <c r="C46" t="s">
        <v>213</v>
      </c>
      <c r="D46">
        <v>2</v>
      </c>
      <c r="F46" s="1" t="s">
        <v>231</v>
      </c>
      <c r="G46" t="s">
        <v>221</v>
      </c>
      <c r="H46" t="s">
        <v>13</v>
      </c>
      <c r="I46">
        <v>11</v>
      </c>
      <c r="J46">
        <f t="shared" si="2"/>
        <v>13</v>
      </c>
      <c r="K46" t="s">
        <v>244</v>
      </c>
      <c r="L46">
        <v>10850</v>
      </c>
    </row>
    <row r="47" spans="1:12" x14ac:dyDescent="0.25">
      <c r="A47" t="s">
        <v>190</v>
      </c>
      <c r="B47" t="s">
        <v>103</v>
      </c>
      <c r="C47" t="s">
        <v>212</v>
      </c>
      <c r="D47">
        <v>6</v>
      </c>
      <c r="F47" s="1" t="s">
        <v>231</v>
      </c>
      <c r="G47" t="s">
        <v>221</v>
      </c>
      <c r="H47" t="s">
        <v>14</v>
      </c>
      <c r="I47">
        <v>11</v>
      </c>
      <c r="J47">
        <f t="shared" si="2"/>
        <v>13</v>
      </c>
      <c r="K47" t="s">
        <v>245</v>
      </c>
      <c r="L47">
        <v>11309</v>
      </c>
    </row>
    <row r="48" spans="1:12" x14ac:dyDescent="0.25">
      <c r="A48" t="s">
        <v>191</v>
      </c>
      <c r="B48" t="s">
        <v>151</v>
      </c>
      <c r="C48" t="s">
        <v>216</v>
      </c>
      <c r="D48">
        <v>6</v>
      </c>
      <c r="F48" s="1" t="s">
        <v>231</v>
      </c>
      <c r="G48" t="s">
        <v>220</v>
      </c>
      <c r="H48" t="s">
        <v>13</v>
      </c>
      <c r="I48">
        <v>13</v>
      </c>
      <c r="J48">
        <f t="shared" si="2"/>
        <v>15</v>
      </c>
      <c r="K48" t="s">
        <v>246</v>
      </c>
      <c r="L48">
        <v>8422</v>
      </c>
    </row>
    <row r="49" spans="1:12" x14ac:dyDescent="0.25">
      <c r="A49" t="s">
        <v>192</v>
      </c>
      <c r="B49" t="s">
        <v>169</v>
      </c>
      <c r="C49" t="s">
        <v>217</v>
      </c>
      <c r="D49">
        <v>5</v>
      </c>
      <c r="F49" s="1" t="s">
        <v>231</v>
      </c>
      <c r="G49" t="s">
        <v>220</v>
      </c>
      <c r="H49" t="s">
        <v>14</v>
      </c>
      <c r="I49">
        <v>11</v>
      </c>
      <c r="J49">
        <f t="shared" si="2"/>
        <v>13</v>
      </c>
      <c r="K49" t="s">
        <v>247</v>
      </c>
      <c r="L49">
        <v>8699</v>
      </c>
    </row>
    <row r="50" spans="1:12" x14ac:dyDescent="0.25">
      <c r="A50" t="s">
        <v>193</v>
      </c>
      <c r="B50" t="s">
        <v>99</v>
      </c>
      <c r="C50" t="s">
        <v>212</v>
      </c>
      <c r="D50">
        <v>5</v>
      </c>
      <c r="F50" s="1" t="s">
        <v>231</v>
      </c>
      <c r="G50" t="s">
        <v>222</v>
      </c>
      <c r="H50" t="s">
        <v>13</v>
      </c>
      <c r="I50">
        <v>13</v>
      </c>
      <c r="J50">
        <f t="shared" si="2"/>
        <v>15</v>
      </c>
      <c r="K50" t="s">
        <v>239</v>
      </c>
      <c r="L50">
        <v>8504</v>
      </c>
    </row>
    <row r="51" spans="1:12" x14ac:dyDescent="0.25">
      <c r="A51" t="s">
        <v>194</v>
      </c>
      <c r="B51" t="s">
        <v>149</v>
      </c>
      <c r="C51" t="s">
        <v>212</v>
      </c>
      <c r="D51">
        <v>4</v>
      </c>
      <c r="F51" s="1" t="s">
        <v>231</v>
      </c>
      <c r="G51" t="s">
        <v>223</v>
      </c>
      <c r="H51" t="s">
        <v>13</v>
      </c>
      <c r="I51">
        <v>14</v>
      </c>
      <c r="J51">
        <f t="shared" si="2"/>
        <v>16</v>
      </c>
      <c r="K51" t="s">
        <v>232</v>
      </c>
      <c r="L51">
        <v>10596</v>
      </c>
    </row>
    <row r="52" spans="1:12" x14ac:dyDescent="0.25">
      <c r="A52" t="s">
        <v>195</v>
      </c>
      <c r="B52" t="s">
        <v>168</v>
      </c>
      <c r="C52" t="s">
        <v>201</v>
      </c>
      <c r="D52">
        <v>7</v>
      </c>
      <c r="F52" s="1" t="s">
        <v>229</v>
      </c>
      <c r="G52" t="s">
        <v>224</v>
      </c>
      <c r="H52" t="s">
        <v>13</v>
      </c>
      <c r="I52">
        <v>13</v>
      </c>
      <c r="J52">
        <f t="shared" si="2"/>
        <v>15</v>
      </c>
      <c r="K52" t="s">
        <v>233</v>
      </c>
      <c r="L52">
        <v>13566</v>
      </c>
    </row>
    <row r="53" spans="1:12" x14ac:dyDescent="0.25">
      <c r="A53" t="s">
        <v>196</v>
      </c>
      <c r="B53" t="s">
        <v>154</v>
      </c>
      <c r="C53" t="s">
        <v>212</v>
      </c>
      <c r="D53">
        <v>9</v>
      </c>
      <c r="F53" s="1" t="s">
        <v>231</v>
      </c>
      <c r="G53" t="s">
        <v>222</v>
      </c>
      <c r="H53" t="s">
        <v>14</v>
      </c>
      <c r="I53">
        <v>14</v>
      </c>
      <c r="J53">
        <f t="shared" si="2"/>
        <v>16</v>
      </c>
      <c r="K53" t="s">
        <v>234</v>
      </c>
      <c r="L53">
        <v>8310</v>
      </c>
    </row>
    <row r="54" spans="1:12" ht="13.9" customHeight="1" x14ac:dyDescent="0.25">
      <c r="A54" t="s">
        <v>197</v>
      </c>
      <c r="B54" t="s">
        <v>135</v>
      </c>
      <c r="C54" t="s">
        <v>213</v>
      </c>
      <c r="D54">
        <v>6</v>
      </c>
      <c r="F54" s="1" t="s">
        <v>231</v>
      </c>
      <c r="G54" t="s">
        <v>223</v>
      </c>
      <c r="H54" t="s">
        <v>14</v>
      </c>
      <c r="I54">
        <v>13</v>
      </c>
      <c r="J54">
        <f t="shared" si="2"/>
        <v>15</v>
      </c>
      <c r="K54" t="s">
        <v>235</v>
      </c>
      <c r="L54">
        <v>11766</v>
      </c>
    </row>
    <row r="55" spans="1:12" x14ac:dyDescent="0.25">
      <c r="A55" t="s">
        <v>198</v>
      </c>
      <c r="B55" t="s">
        <v>131</v>
      </c>
      <c r="C55" t="s">
        <v>226</v>
      </c>
      <c r="D55">
        <v>6</v>
      </c>
      <c r="F55" s="1" t="s">
        <v>231</v>
      </c>
      <c r="G55" t="s">
        <v>225</v>
      </c>
      <c r="H55" t="s">
        <v>13</v>
      </c>
      <c r="I55">
        <v>13</v>
      </c>
      <c r="J55">
        <f t="shared" si="2"/>
        <v>15</v>
      </c>
      <c r="K55" t="s">
        <v>236</v>
      </c>
      <c r="L55">
        <v>11107</v>
      </c>
    </row>
    <row r="56" spans="1:12" x14ac:dyDescent="0.25">
      <c r="A56" t="s">
        <v>199</v>
      </c>
      <c r="B56" t="s">
        <v>104</v>
      </c>
      <c r="C56" t="s">
        <v>227</v>
      </c>
      <c r="D56">
        <v>7</v>
      </c>
      <c r="F56" s="1" t="s">
        <v>231</v>
      </c>
      <c r="G56" t="s">
        <v>224</v>
      </c>
      <c r="H56" t="s">
        <v>14</v>
      </c>
      <c r="I56">
        <v>13</v>
      </c>
      <c r="J56">
        <f t="shared" si="2"/>
        <v>15</v>
      </c>
      <c r="K56" t="s">
        <v>237</v>
      </c>
      <c r="L56">
        <v>7573</v>
      </c>
    </row>
    <row r="57" spans="1:12" x14ac:dyDescent="0.25">
      <c r="A57" t="s">
        <v>200</v>
      </c>
      <c r="B57" t="s">
        <v>100</v>
      </c>
      <c r="C57" t="s">
        <v>213</v>
      </c>
      <c r="D57">
        <v>5</v>
      </c>
      <c r="F57" s="1" t="s">
        <v>231</v>
      </c>
      <c r="G57" t="s">
        <v>225</v>
      </c>
      <c r="H57" t="s">
        <v>14</v>
      </c>
      <c r="I57">
        <v>10</v>
      </c>
      <c r="J57">
        <f t="shared" si="2"/>
        <v>12</v>
      </c>
      <c r="K57" t="s">
        <v>238</v>
      </c>
      <c r="L57">
        <v>11042</v>
      </c>
    </row>
    <row r="58" spans="1:12" x14ac:dyDescent="0.25">
      <c r="A58" t="s">
        <v>256</v>
      </c>
      <c r="B58" t="s">
        <v>101</v>
      </c>
      <c r="F58" s="1" t="s">
        <v>231</v>
      </c>
      <c r="G58" t="s">
        <v>266</v>
      </c>
      <c r="H58" t="s">
        <v>14</v>
      </c>
      <c r="I58">
        <v>12</v>
      </c>
      <c r="J58">
        <f t="shared" si="2"/>
        <v>14</v>
      </c>
      <c r="K58" t="s">
        <v>160</v>
      </c>
      <c r="L58">
        <v>10561</v>
      </c>
    </row>
    <row r="59" spans="1:12" x14ac:dyDescent="0.25">
      <c r="A59" t="s">
        <v>257</v>
      </c>
      <c r="B59" t="s">
        <v>152</v>
      </c>
      <c r="F59" s="1" t="s">
        <v>231</v>
      </c>
      <c r="G59" t="s">
        <v>268</v>
      </c>
      <c r="H59" t="s">
        <v>13</v>
      </c>
      <c r="I59">
        <v>13</v>
      </c>
      <c r="J59">
        <f t="shared" si="2"/>
        <v>15</v>
      </c>
      <c r="K59" t="s">
        <v>161</v>
      </c>
      <c r="L59">
        <v>6383</v>
      </c>
    </row>
    <row r="60" spans="1:12" x14ac:dyDescent="0.25">
      <c r="A60" t="s">
        <v>258</v>
      </c>
      <c r="B60" t="s">
        <v>203</v>
      </c>
      <c r="F60" s="1" t="s">
        <v>231</v>
      </c>
      <c r="G60" t="s">
        <v>267</v>
      </c>
      <c r="H60" t="s">
        <v>13</v>
      </c>
      <c r="I60">
        <v>14</v>
      </c>
      <c r="J60">
        <f t="shared" si="2"/>
        <v>16</v>
      </c>
      <c r="K60" t="s">
        <v>162</v>
      </c>
      <c r="L60">
        <v>8767</v>
      </c>
    </row>
    <row r="61" spans="1:12" x14ac:dyDescent="0.25">
      <c r="A61" t="s">
        <v>259</v>
      </c>
      <c r="B61" t="s">
        <v>134</v>
      </c>
      <c r="F61" s="1" t="s">
        <v>231</v>
      </c>
      <c r="G61" t="s">
        <v>266</v>
      </c>
      <c r="H61" t="s">
        <v>13</v>
      </c>
      <c r="I61">
        <v>12</v>
      </c>
      <c r="J61">
        <f t="shared" si="2"/>
        <v>14</v>
      </c>
      <c r="K61" t="s">
        <v>163</v>
      </c>
      <c r="L61">
        <v>11344</v>
      </c>
    </row>
    <row r="62" spans="1:12" x14ac:dyDescent="0.25">
      <c r="A62" t="s">
        <v>260</v>
      </c>
      <c r="B62" t="s">
        <v>169</v>
      </c>
      <c r="F62" s="1" t="s">
        <v>229</v>
      </c>
      <c r="G62" t="s">
        <v>268</v>
      </c>
      <c r="H62" t="s">
        <v>14</v>
      </c>
      <c r="I62">
        <v>13</v>
      </c>
      <c r="J62">
        <f t="shared" si="2"/>
        <v>15</v>
      </c>
      <c r="K62" t="s">
        <v>164</v>
      </c>
      <c r="L62">
        <v>12866</v>
      </c>
    </row>
    <row r="63" spans="1:12" x14ac:dyDescent="0.25">
      <c r="A63" t="s">
        <v>261</v>
      </c>
      <c r="B63" t="s">
        <v>127</v>
      </c>
      <c r="F63" s="1" t="s">
        <v>231</v>
      </c>
      <c r="G63" t="s">
        <v>269</v>
      </c>
      <c r="H63" t="s">
        <v>14</v>
      </c>
      <c r="I63">
        <v>12</v>
      </c>
      <c r="J63">
        <f t="shared" si="2"/>
        <v>14</v>
      </c>
      <c r="K63" t="s">
        <v>165</v>
      </c>
      <c r="L63">
        <v>8101</v>
      </c>
    </row>
    <row r="64" spans="1:12" x14ac:dyDescent="0.25">
      <c r="A64" t="s">
        <v>262</v>
      </c>
      <c r="B64" t="s">
        <v>168</v>
      </c>
      <c r="F64" s="1" t="s">
        <v>231</v>
      </c>
      <c r="G64" t="s">
        <v>269</v>
      </c>
      <c r="H64" t="s">
        <v>13</v>
      </c>
      <c r="I64">
        <v>13</v>
      </c>
      <c r="J64">
        <f t="shared" si="2"/>
        <v>15</v>
      </c>
      <c r="K64" t="s">
        <v>166</v>
      </c>
      <c r="L64">
        <v>8232</v>
      </c>
    </row>
    <row r="65" spans="1:12" x14ac:dyDescent="0.25">
      <c r="A65" t="s">
        <v>263</v>
      </c>
      <c r="B65" t="s">
        <v>98</v>
      </c>
      <c r="F65" s="1" t="s">
        <v>231</v>
      </c>
      <c r="G65" t="s">
        <v>270</v>
      </c>
      <c r="H65" t="s">
        <v>14</v>
      </c>
      <c r="I65">
        <v>11</v>
      </c>
      <c r="J65">
        <f t="shared" si="2"/>
        <v>13</v>
      </c>
      <c r="K65" t="s">
        <v>167</v>
      </c>
      <c r="L65">
        <v>9900</v>
      </c>
    </row>
    <row r="66" spans="1:12" x14ac:dyDescent="0.25">
      <c r="A66" t="s">
        <v>264</v>
      </c>
      <c r="B66" t="s">
        <v>129</v>
      </c>
      <c r="F66" s="1" t="s">
        <v>231</v>
      </c>
      <c r="G66" t="s">
        <v>270</v>
      </c>
      <c r="H66" t="s">
        <v>13</v>
      </c>
      <c r="I66">
        <v>12</v>
      </c>
      <c r="J66">
        <f t="shared" si="2"/>
        <v>14</v>
      </c>
      <c r="K66" t="s">
        <v>265</v>
      </c>
      <c r="L66">
        <v>7030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30DC-BBD3-4D1C-AF6C-522B9FA26E92}">
  <dimension ref="A1:Q46"/>
  <sheetViews>
    <sheetView topLeftCell="A9" zoomScale="120" workbookViewId="0">
      <selection activeCell="M15" sqref="M15"/>
    </sheetView>
  </sheetViews>
  <sheetFormatPr defaultRowHeight="15" x14ac:dyDescent="0.25"/>
  <cols>
    <col min="1" max="1" width="20.5703125" customWidth="1"/>
    <col min="2" max="2" width="12" style="2" bestFit="1" customWidth="1"/>
    <col min="4" max="4" width="18.42578125" customWidth="1"/>
    <col min="7" max="7" width="17" customWidth="1"/>
    <col min="10" max="10" width="19.5703125" customWidth="1"/>
    <col min="13" max="13" width="17.42578125" customWidth="1"/>
    <col min="16" max="16" width="16.5703125" customWidth="1"/>
  </cols>
  <sheetData>
    <row r="1" spans="1:17" ht="15.75" thickBot="1" x14ac:dyDescent="0.3">
      <c r="A1" s="3" t="s">
        <v>15</v>
      </c>
      <c r="B1" s="4">
        <v>8</v>
      </c>
    </row>
    <row r="2" spans="1:17" x14ac:dyDescent="0.25">
      <c r="A2" s="5"/>
    </row>
    <row r="3" spans="1:17" x14ac:dyDescent="0.25">
      <c r="A3" s="6" t="s">
        <v>44</v>
      </c>
    </row>
    <row r="4" spans="1:17" x14ac:dyDescent="0.25">
      <c r="A4" s="7" t="s">
        <v>26</v>
      </c>
      <c r="B4" s="8"/>
      <c r="D4" s="7" t="s">
        <v>82</v>
      </c>
      <c r="E4" s="13"/>
      <c r="G4" s="7" t="s">
        <v>83</v>
      </c>
      <c r="H4" s="13"/>
      <c r="J4" s="7" t="s">
        <v>84</v>
      </c>
      <c r="K4" s="13"/>
      <c r="M4" s="7" t="s">
        <v>85</v>
      </c>
      <c r="N4" s="13"/>
      <c r="P4" s="7" t="s">
        <v>19</v>
      </c>
      <c r="Q4" s="8"/>
    </row>
    <row r="5" spans="1:17" x14ac:dyDescent="0.25">
      <c r="A5" s="9" t="s">
        <v>16</v>
      </c>
      <c r="B5" s="10">
        <f>B$1*1.1*50</f>
        <v>440.00000000000006</v>
      </c>
      <c r="D5" s="9" t="s">
        <v>24</v>
      </c>
      <c r="E5" s="14">
        <f>E$13/4</f>
        <v>660</v>
      </c>
      <c r="G5" s="9" t="s">
        <v>24</v>
      </c>
      <c r="H5" s="14">
        <f>H$14/4</f>
        <v>440.00000000000006</v>
      </c>
      <c r="J5" s="9" t="s">
        <v>24</v>
      </c>
      <c r="K5" s="14">
        <f>K$11/4</f>
        <v>660</v>
      </c>
      <c r="M5" s="9" t="s">
        <v>24</v>
      </c>
      <c r="N5" s="14">
        <f>N$12/4</f>
        <v>440.00000000000006</v>
      </c>
      <c r="P5" s="9" t="s">
        <v>30</v>
      </c>
      <c r="Q5" s="10">
        <f>B$1*312</f>
        <v>2496</v>
      </c>
    </row>
    <row r="6" spans="1:17" x14ac:dyDescent="0.25">
      <c r="A6" s="9" t="s">
        <v>23</v>
      </c>
      <c r="B6" s="10">
        <f>B$1*1.1*450</f>
        <v>3960.0000000000005</v>
      </c>
      <c r="D6" s="9" t="s">
        <v>32</v>
      </c>
      <c r="E6" s="14">
        <f>E$13/20</f>
        <v>132</v>
      </c>
      <c r="G6" s="9" t="s">
        <v>32</v>
      </c>
      <c r="H6" s="14">
        <f>H$14/20</f>
        <v>88.000000000000014</v>
      </c>
      <c r="J6" s="9" t="s">
        <v>32</v>
      </c>
      <c r="K6" s="14">
        <f>K$11/20</f>
        <v>132</v>
      </c>
      <c r="M6" s="9" t="s">
        <v>32</v>
      </c>
      <c r="N6" s="14">
        <f>N$12/20</f>
        <v>88.000000000000014</v>
      </c>
      <c r="P6" s="9" t="s">
        <v>31</v>
      </c>
      <c r="Q6" s="10">
        <f>B$1*8</f>
        <v>64</v>
      </c>
    </row>
    <row r="7" spans="1:17" x14ac:dyDescent="0.25">
      <c r="A7" s="11" t="s">
        <v>29</v>
      </c>
      <c r="B7" s="12">
        <f>SUM(B5:B6)</f>
        <v>4400.0000000000009</v>
      </c>
      <c r="D7" s="9" t="s">
        <v>39</v>
      </c>
      <c r="E7" s="14">
        <f>E$13/200</f>
        <v>13.2</v>
      </c>
      <c r="G7" s="9" t="s">
        <v>33</v>
      </c>
      <c r="H7" s="14">
        <f>H$14/400</f>
        <v>4.4000000000000004</v>
      </c>
      <c r="J7" s="9" t="s">
        <v>41</v>
      </c>
      <c r="K7" s="14">
        <f>K$11/100</f>
        <v>26.4</v>
      </c>
      <c r="M7" s="9" t="s">
        <v>36</v>
      </c>
      <c r="N7" s="14">
        <f>N$12/400</f>
        <v>4.4000000000000004</v>
      </c>
      <c r="P7" s="11" t="s">
        <v>29</v>
      </c>
      <c r="Q7" s="12">
        <f>SUM(Q5:Q6)</f>
        <v>2560</v>
      </c>
    </row>
    <row r="8" spans="1:17" x14ac:dyDescent="0.25">
      <c r="D8" s="9" t="s">
        <v>40</v>
      </c>
      <c r="E8" s="14">
        <f>E$13/1000</f>
        <v>2.64</v>
      </c>
      <c r="G8" s="9" t="s">
        <v>34</v>
      </c>
      <c r="H8" s="14">
        <f>H$14/400</f>
        <v>4.4000000000000004</v>
      </c>
      <c r="J8" s="9" t="s">
        <v>86</v>
      </c>
      <c r="K8" s="14">
        <f>K$11/500</f>
        <v>5.28</v>
      </c>
      <c r="M8" s="9" t="s">
        <v>35</v>
      </c>
      <c r="N8" s="14">
        <f>N$12/400</f>
        <v>4.4000000000000004</v>
      </c>
      <c r="Q8" s="2"/>
    </row>
    <row r="9" spans="1:17" x14ac:dyDescent="0.25">
      <c r="A9" s="7" t="s">
        <v>17</v>
      </c>
      <c r="B9" s="8"/>
      <c r="D9" s="9" t="s">
        <v>41</v>
      </c>
      <c r="E9" s="14">
        <f>E$13/100</f>
        <v>26.4</v>
      </c>
      <c r="G9" s="9" t="s">
        <v>35</v>
      </c>
      <c r="H9" s="14">
        <f>H$14/400</f>
        <v>4.4000000000000004</v>
      </c>
      <c r="J9" s="9" t="s">
        <v>87</v>
      </c>
      <c r="K9" s="14">
        <f>K$11/200</f>
        <v>13.2</v>
      </c>
      <c r="M9" s="9" t="s">
        <v>96</v>
      </c>
      <c r="N9" s="14">
        <f>N$12/400</f>
        <v>4.4000000000000004</v>
      </c>
      <c r="P9" s="7" t="s">
        <v>20</v>
      </c>
      <c r="Q9" s="8"/>
    </row>
    <row r="10" spans="1:17" x14ac:dyDescent="0.25">
      <c r="A10" s="9" t="s">
        <v>24</v>
      </c>
      <c r="B10" s="10">
        <f>50*B$1*1.1</f>
        <v>440.00000000000006</v>
      </c>
      <c r="D10" s="9" t="s">
        <v>42</v>
      </c>
      <c r="E10" s="14">
        <f>E$13/500</f>
        <v>5.28</v>
      </c>
      <c r="G10" s="9" t="s">
        <v>36</v>
      </c>
      <c r="H10" s="14">
        <f>H$14/400</f>
        <v>4.4000000000000004</v>
      </c>
      <c r="J10" s="9" t="s">
        <v>23</v>
      </c>
      <c r="K10" s="14">
        <f>K11-SUM(K5:K9)</f>
        <v>1803.12</v>
      </c>
      <c r="M10" s="9" t="s">
        <v>38</v>
      </c>
      <c r="N10" s="14">
        <f>N$12/100</f>
        <v>17.600000000000001</v>
      </c>
      <c r="P10" s="9" t="s">
        <v>27</v>
      </c>
      <c r="Q10" s="10">
        <f>B$1*1.1*80</f>
        <v>704</v>
      </c>
    </row>
    <row r="11" spans="1:17" x14ac:dyDescent="0.25">
      <c r="A11" s="9" t="s">
        <v>25</v>
      </c>
      <c r="B11" s="10">
        <f>5*B$1*1.1</f>
        <v>44</v>
      </c>
      <c r="D11" s="9" t="s">
        <v>43</v>
      </c>
      <c r="E11" s="14">
        <f>E$13/200</f>
        <v>13.2</v>
      </c>
      <c r="G11" s="9" t="s">
        <v>37</v>
      </c>
      <c r="H11" s="14">
        <f>H$14/50</f>
        <v>35.200000000000003</v>
      </c>
      <c r="J11" s="11" t="s">
        <v>29</v>
      </c>
      <c r="K11" s="15">
        <f>B1*1.1*300</f>
        <v>2640</v>
      </c>
      <c r="M11" s="9" t="s">
        <v>23</v>
      </c>
      <c r="N11" s="14">
        <f>N12-SUM(N5:N10)</f>
        <v>1201.2000000000003</v>
      </c>
      <c r="P11" s="9" t="s">
        <v>28</v>
      </c>
      <c r="Q11" s="10">
        <f>B$1*1.1*20</f>
        <v>176</v>
      </c>
    </row>
    <row r="12" spans="1:17" x14ac:dyDescent="0.25">
      <c r="A12" s="9" t="s">
        <v>23</v>
      </c>
      <c r="B12" s="10">
        <f>145*B$1*1.1</f>
        <v>1276</v>
      </c>
      <c r="D12" s="9" t="s">
        <v>23</v>
      </c>
      <c r="E12" s="14">
        <f>E13-SUM(E5:E11)</f>
        <v>1787.28</v>
      </c>
      <c r="G12" s="9" t="s">
        <v>38</v>
      </c>
      <c r="H12" s="14">
        <f>H$14/100</f>
        <v>17.600000000000001</v>
      </c>
      <c r="M12" s="11" t="s">
        <v>29</v>
      </c>
      <c r="N12" s="15">
        <f>B$1*1.1*200</f>
        <v>1760.0000000000002</v>
      </c>
      <c r="P12" s="11" t="s">
        <v>29</v>
      </c>
      <c r="Q12" s="12">
        <f>SUM(Q10:Q11)</f>
        <v>880</v>
      </c>
    </row>
    <row r="13" spans="1:17" x14ac:dyDescent="0.25">
      <c r="A13" s="11" t="s">
        <v>29</v>
      </c>
      <c r="B13" s="12">
        <f>SUM(B10:B12)</f>
        <v>1760</v>
      </c>
      <c r="D13" s="11" t="s">
        <v>29</v>
      </c>
      <c r="E13" s="15">
        <f>B1*1.1*300</f>
        <v>2640</v>
      </c>
      <c r="G13" s="9" t="s">
        <v>23</v>
      </c>
      <c r="H13" s="14">
        <f>H14-SUM(H5:H12)</f>
        <v>1161.6000000000001</v>
      </c>
    </row>
    <row r="14" spans="1:17" x14ac:dyDescent="0.25">
      <c r="G14" s="11" t="s">
        <v>29</v>
      </c>
      <c r="H14" s="15">
        <f>B$1*1.1*200</f>
        <v>1760.0000000000002</v>
      </c>
    </row>
    <row r="15" spans="1:17" x14ac:dyDescent="0.25">
      <c r="A15" s="7" t="s">
        <v>18</v>
      </c>
      <c r="B15" s="8"/>
    </row>
    <row r="16" spans="1:17" x14ac:dyDescent="0.25">
      <c r="A16" s="9" t="s">
        <v>21</v>
      </c>
      <c r="B16" s="10">
        <f>240*1.1*B$1</f>
        <v>2112</v>
      </c>
    </row>
    <row r="17" spans="1:5" x14ac:dyDescent="0.25">
      <c r="A17" s="9" t="s">
        <v>22</v>
      </c>
      <c r="B17" s="10">
        <f>96*1.1*B$1</f>
        <v>844.80000000000007</v>
      </c>
    </row>
    <row r="18" spans="1:5" x14ac:dyDescent="0.25">
      <c r="A18" s="9" t="s">
        <v>23</v>
      </c>
      <c r="B18" s="10">
        <f>2064*1.1*B$1</f>
        <v>18163.2</v>
      </c>
    </row>
    <row r="19" spans="1:5" x14ac:dyDescent="0.25">
      <c r="A19" s="11" t="s">
        <v>29</v>
      </c>
      <c r="B19" s="15">
        <f>SUM(B16:B18)</f>
        <v>21120</v>
      </c>
    </row>
    <row r="21" spans="1:5" x14ac:dyDescent="0.25">
      <c r="A21" s="6" t="s">
        <v>45</v>
      </c>
    </row>
    <row r="22" spans="1:5" x14ac:dyDescent="0.25">
      <c r="A22" s="7" t="s">
        <v>47</v>
      </c>
      <c r="B22" s="8"/>
      <c r="D22" s="7" t="s">
        <v>48</v>
      </c>
      <c r="E22" s="13"/>
    </row>
    <row r="23" spans="1:5" x14ac:dyDescent="0.25">
      <c r="A23" s="9" t="s">
        <v>23</v>
      </c>
      <c r="B23" s="10">
        <f>B$1*1.1*179</f>
        <v>1575.2</v>
      </c>
      <c r="D23" s="9" t="s">
        <v>49</v>
      </c>
      <c r="E23" s="14">
        <f t="shared" ref="E23" si="0">B$1*1.1*140.1</f>
        <v>1232.8800000000001</v>
      </c>
    </row>
    <row r="24" spans="1:5" x14ac:dyDescent="0.25">
      <c r="A24" s="9" t="s">
        <v>52</v>
      </c>
      <c r="B24" s="10">
        <f>B$1*1.1*20</f>
        <v>176</v>
      </c>
      <c r="D24" s="9" t="s">
        <v>23</v>
      </c>
      <c r="E24" s="14">
        <f>B$1*1.1*19.9</f>
        <v>175.12</v>
      </c>
    </row>
    <row r="25" spans="1:5" x14ac:dyDescent="0.25">
      <c r="A25" s="9" t="s">
        <v>22</v>
      </c>
      <c r="B25" s="10">
        <f>B$1*1.1*1</f>
        <v>8.8000000000000007</v>
      </c>
      <c r="D25" s="9" t="s">
        <v>50</v>
      </c>
      <c r="E25" s="14">
        <f>B$1*1.1*20</f>
        <v>176</v>
      </c>
    </row>
    <row r="26" spans="1:5" x14ac:dyDescent="0.25">
      <c r="A26" s="11" t="s">
        <v>29</v>
      </c>
      <c r="B26" s="12">
        <f>SUM(B23:B25)</f>
        <v>1760</v>
      </c>
      <c r="D26" s="9" t="s">
        <v>51</v>
      </c>
      <c r="E26" s="14">
        <f>B$1*1.1*20</f>
        <v>176</v>
      </c>
    </row>
    <row r="27" spans="1:5" x14ac:dyDescent="0.25">
      <c r="D27" s="11" t="s">
        <v>29</v>
      </c>
      <c r="E27" s="15">
        <f>SUM(E23:E26)</f>
        <v>1760</v>
      </c>
    </row>
    <row r="29" spans="1:5" x14ac:dyDescent="0.25">
      <c r="A29" s="6" t="s">
        <v>46</v>
      </c>
    </row>
    <row r="30" spans="1:5" x14ac:dyDescent="0.25">
      <c r="A30" s="7" t="s">
        <v>57</v>
      </c>
      <c r="B30" s="8"/>
      <c r="D30" s="7" t="s">
        <v>53</v>
      </c>
      <c r="E30" s="13"/>
    </row>
    <row r="31" spans="1:5" x14ac:dyDescent="0.25">
      <c r="A31" s="9" t="s">
        <v>56</v>
      </c>
      <c r="B31" s="10">
        <f>B33/10</f>
        <v>8</v>
      </c>
      <c r="D31" s="9" t="s">
        <v>23</v>
      </c>
      <c r="E31" s="14">
        <f>B$1*1.1*52</f>
        <v>457.6</v>
      </c>
    </row>
    <row r="32" spans="1:5" x14ac:dyDescent="0.25">
      <c r="A32" s="9" t="s">
        <v>23</v>
      </c>
      <c r="B32" s="10">
        <f>B33-B31</f>
        <v>72</v>
      </c>
      <c r="D32" s="9" t="s">
        <v>55</v>
      </c>
      <c r="E32" s="14">
        <f>B$1*1.1*65</f>
        <v>572</v>
      </c>
    </row>
    <row r="33" spans="1:8" x14ac:dyDescent="0.25">
      <c r="A33" s="11" t="s">
        <v>29</v>
      </c>
      <c r="B33" s="12">
        <f>B$1*10</f>
        <v>80</v>
      </c>
      <c r="D33" s="9" t="s">
        <v>54</v>
      </c>
      <c r="E33" s="14">
        <f>B$1*1.1*13</f>
        <v>114.4</v>
      </c>
    </row>
    <row r="34" spans="1:8" x14ac:dyDescent="0.25">
      <c r="D34" s="11" t="s">
        <v>29</v>
      </c>
      <c r="E34" s="15">
        <f>SUM(E31:E33)</f>
        <v>1144</v>
      </c>
    </row>
    <row r="36" spans="1:8" x14ac:dyDescent="0.25">
      <c r="A36" s="7" t="s">
        <v>58</v>
      </c>
      <c r="B36" s="8"/>
      <c r="D36" s="7" t="s">
        <v>60</v>
      </c>
      <c r="E36" s="13"/>
      <c r="G36" s="7" t="s">
        <v>63</v>
      </c>
      <c r="H36" s="13"/>
    </row>
    <row r="37" spans="1:8" x14ac:dyDescent="0.25">
      <c r="A37" s="9" t="s">
        <v>59</v>
      </c>
      <c r="B37" s="10">
        <f>B$1*1.1*30</f>
        <v>264</v>
      </c>
      <c r="D37" s="9" t="s">
        <v>61</v>
      </c>
      <c r="E37" s="14">
        <f>B$1*1.1*196</f>
        <v>1724.8000000000002</v>
      </c>
      <c r="G37" s="9" t="s">
        <v>23</v>
      </c>
      <c r="H37" s="14">
        <f>B$1*1.1*198</f>
        <v>1742.4</v>
      </c>
    </row>
    <row r="38" spans="1:8" x14ac:dyDescent="0.25">
      <c r="A38" s="9" t="s">
        <v>30</v>
      </c>
      <c r="B38" s="10">
        <f>B$1*1.1*270</f>
        <v>2376</v>
      </c>
      <c r="D38" s="9" t="s">
        <v>62</v>
      </c>
      <c r="E38" s="14">
        <f>B$1*1.1*4</f>
        <v>35.200000000000003</v>
      </c>
      <c r="G38" s="9" t="s">
        <v>64</v>
      </c>
      <c r="H38" s="14">
        <f>B$1*1.1*2</f>
        <v>17.600000000000001</v>
      </c>
    </row>
    <row r="39" spans="1:8" x14ac:dyDescent="0.25">
      <c r="A39" s="11" t="s">
        <v>29</v>
      </c>
      <c r="B39" s="12">
        <f>SUM(B37:B38)</f>
        <v>2640</v>
      </c>
      <c r="D39" s="11" t="s">
        <v>29</v>
      </c>
      <c r="E39" s="15">
        <f>SUM(E37:E38)</f>
        <v>1760.0000000000002</v>
      </c>
      <c r="G39" s="11" t="s">
        <v>29</v>
      </c>
      <c r="H39" s="15">
        <f>SUM(H37:H38)</f>
        <v>1760</v>
      </c>
    </row>
    <row r="41" spans="1:8" x14ac:dyDescent="0.25">
      <c r="A41" s="6" t="s">
        <v>65</v>
      </c>
    </row>
    <row r="42" spans="1:8" x14ac:dyDescent="0.25">
      <c r="A42" s="7" t="s">
        <v>66</v>
      </c>
      <c r="B42" s="8"/>
      <c r="D42" s="7" t="s">
        <v>69</v>
      </c>
      <c r="E42" s="13"/>
      <c r="G42" s="7" t="s">
        <v>72</v>
      </c>
      <c r="H42" s="13"/>
    </row>
    <row r="43" spans="1:8" x14ac:dyDescent="0.25">
      <c r="A43" s="9" t="s">
        <v>23</v>
      </c>
      <c r="B43" s="10">
        <f>B$1*1.1*78</f>
        <v>686.40000000000009</v>
      </c>
      <c r="D43" s="9" t="s">
        <v>70</v>
      </c>
      <c r="E43" s="14">
        <f t="shared" ref="E43" si="1">(B$1+1)*1.1*5</f>
        <v>49.5</v>
      </c>
      <c r="G43" s="9" t="s">
        <v>23</v>
      </c>
      <c r="H43" s="14">
        <f>B$1*1.1*45</f>
        <v>396.00000000000006</v>
      </c>
    </row>
    <row r="44" spans="1:8" x14ac:dyDescent="0.25">
      <c r="A44" s="9" t="s">
        <v>67</v>
      </c>
      <c r="B44" s="10">
        <f>B$1*1.1*100</f>
        <v>880.00000000000011</v>
      </c>
      <c r="D44" s="9" t="s">
        <v>71</v>
      </c>
      <c r="E44" s="14">
        <f>(B$1+1)*1.1*1</f>
        <v>9.9</v>
      </c>
      <c r="G44" s="9" t="s">
        <v>67</v>
      </c>
      <c r="H44" s="14">
        <f>B$1*1.1*25</f>
        <v>220.00000000000003</v>
      </c>
    </row>
    <row r="45" spans="1:8" x14ac:dyDescent="0.25">
      <c r="A45" s="9" t="s">
        <v>68</v>
      </c>
      <c r="B45" s="10">
        <f>B$1*1.1*10</f>
        <v>88</v>
      </c>
      <c r="D45" s="9" t="s">
        <v>23</v>
      </c>
      <c r="E45" s="14">
        <f>(B$1+1)*1.1*3</f>
        <v>29.700000000000003</v>
      </c>
      <c r="G45" s="11" t="s">
        <v>29</v>
      </c>
      <c r="H45" s="15">
        <f>SUM(H43:H44)</f>
        <v>616.00000000000011</v>
      </c>
    </row>
    <row r="46" spans="1:8" x14ac:dyDescent="0.25">
      <c r="A46" s="11" t="s">
        <v>29</v>
      </c>
      <c r="B46" s="12">
        <f>SUM(B43:B45)</f>
        <v>1654.4</v>
      </c>
      <c r="D46" s="11" t="s">
        <v>29</v>
      </c>
      <c r="E46" s="15">
        <f>SUM(E43:E45)</f>
        <v>89.1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sample_prep</vt:lpstr>
      <vt:lpstr>reagents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Sondag Boles</dc:creator>
  <cp:lastModifiedBy>Jake Sondag Boles</cp:lastModifiedBy>
  <dcterms:created xsi:type="dcterms:W3CDTF">2025-11-18T21:47:59Z</dcterms:created>
  <dcterms:modified xsi:type="dcterms:W3CDTF">2026-08-28T16:03:26Z</dcterms:modified>
</cp:coreProperties>
</file>